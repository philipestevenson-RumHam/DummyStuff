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Lenovo\Documents\GitHub\DummyStuff\Home Version\"/>
    </mc:Choice>
  </mc:AlternateContent>
  <xr:revisionPtr revIDLastSave="0" documentId="13_ncr:1_{8C6E43FE-A3B4-4449-9945-654A1FA729CD}" xr6:coauthVersionLast="47" xr6:coauthVersionMax="47" xr10:uidLastSave="{00000000-0000-0000-0000-000000000000}"/>
  <bookViews>
    <workbookView xWindow="14295" yWindow="0" windowWidth="14610" windowHeight="15585" xr2:uid="{00000000-000D-0000-FFFF-FFFF00000000}"/>
  </bookViews>
  <sheets>
    <sheet name="Quiz Questions" sheetId="2" r:id="rId1"/>
    <sheet name="Joker Setup" sheetId="1" r:id="rId2"/>
    <sheet name="Instructions" sheetId="3" r:id="rId3"/>
  </sheets>
  <functionGroups builtInGroupCount="19"/>
  <definedNames>
    <definedName name="_xlnm._FilterDatabase" localSheetId="0" hidden="1">'Quiz Questions'!$A$1:$L$10</definedName>
  </definedNames>
  <calcPr calcId="191029"/>
</workbook>
</file>

<file path=xl/calcChain.xml><?xml version="1.0" encoding="utf-8"?>
<calcChain xmlns="http://schemas.openxmlformats.org/spreadsheetml/2006/main">
  <c r="Y3" i="2" l="1"/>
  <c r="Z3" i="2"/>
  <c r="Y4" i="2"/>
  <c r="Z4" i="2" s="1"/>
  <c r="Y5" i="2"/>
  <c r="Z5" i="2" s="1"/>
  <c r="Y6" i="2"/>
  <c r="Z6" i="2" s="1"/>
  <c r="Y7" i="2"/>
  <c r="Z7" i="2" s="1"/>
  <c r="Y8" i="2"/>
  <c r="Z8" i="2"/>
  <c r="Y9" i="2"/>
  <c r="Z9" i="2"/>
  <c r="Y10" i="2"/>
  <c r="Z10" i="2"/>
  <c r="Z2" i="2"/>
  <c r="Y2" i="2"/>
  <c r="R3" i="2"/>
  <c r="R4" i="2"/>
  <c r="R5" i="2"/>
  <c r="R6" i="2"/>
  <c r="R7" i="2"/>
  <c r="R8" i="2"/>
  <c r="R9" i="2"/>
  <c r="R10" i="2"/>
  <c r="R2" i="2"/>
  <c r="Q5" i="2"/>
  <c r="Q6" i="2"/>
  <c r="Q7" i="2"/>
  <c r="Q8" i="2"/>
  <c r="Q9" i="2"/>
  <c r="Q10" i="2"/>
  <c r="Q2" i="2"/>
  <c r="Q3" i="2"/>
  <c r="Q4" i="2"/>
  <c r="B10" i="2"/>
  <c r="B9" i="2"/>
  <c r="B8" i="2"/>
  <c r="B7" i="2"/>
  <c r="B6" i="2"/>
  <c r="B5" i="2"/>
  <c r="B4" i="2"/>
  <c r="B3" i="2"/>
  <c r="B2" i="2"/>
</calcChain>
</file>

<file path=xl/sharedStrings.xml><?xml version="1.0" encoding="utf-8"?>
<sst xmlns="http://schemas.openxmlformats.org/spreadsheetml/2006/main" count="171" uniqueCount="135">
  <si>
    <t>🃏  Joker Setup</t>
  </si>
  <si>
    <t>ℹ️ How to use</t>
  </si>
  <si>
    <t>Fill in rounds and teams below, then run: Alt+F8 → AssignJokers → Run</t>
  </si>
  <si>
    <t>Round No.</t>
  </si>
  <si>
    <t>Team Name</t>
  </si>
  <si>
    <t>Steps</t>
  </si>
  <si>
    <t>Team 1</t>
  </si>
  <si>
    <t>1. Add/remove round numbers in col A (row 4 downward).</t>
  </si>
  <si>
    <t>Team 2</t>
  </si>
  <si>
    <t>2. Add/remove team names in col C (row 4 downward).</t>
  </si>
  <si>
    <t>Team 3</t>
  </si>
  <si>
    <t>3. Each team gets ONE joker per listed round.</t>
  </si>
  <si>
    <t>Team 4</t>
  </si>
  <si>
    <t>4. Jokers only land on 1-point questions.</t>
  </si>
  <si>
    <t>Team 5</t>
  </si>
  <si>
    <t>5. Alt+F8 → AssignJokers → Run to assign.</t>
  </si>
  <si>
    <t>Team 6</t>
  </si>
  <si>
    <t>6. Re-run anytime to re-shuffle (old values cleared).</t>
  </si>
  <si>
    <t>Team 7</t>
  </si>
  <si>
    <t>7. 'Joker' column auto-created if not present.</t>
  </si>
  <si>
    <t>Team 8</t>
  </si>
  <si>
    <t>8. Output: 'Joker for Team: 5'  or  'Joker for Teams: 3, 5, 8'</t>
  </si>
  <si>
    <t>Round Number</t>
  </si>
  <si>
    <t>Round Title</t>
  </si>
  <si>
    <t>Question Number</t>
  </si>
  <si>
    <t>Question Category</t>
  </si>
  <si>
    <t>Question</t>
  </si>
  <si>
    <t>Answer</t>
  </si>
  <si>
    <t>Points</t>
  </si>
  <si>
    <t>Is Picture Round</t>
  </si>
  <si>
    <t>Image File</t>
  </si>
  <si>
    <t>Info</t>
  </si>
  <si>
    <t>Author</t>
  </si>
  <si>
    <t>Joker</t>
  </si>
  <si>
    <t>History</t>
  </si>
  <si>
    <t>Geography</t>
  </si>
  <si>
    <t>Philip</t>
  </si>
  <si>
    <t>Entertainment</t>
  </si>
  <si>
    <t>Team 9</t>
  </si>
  <si>
    <t>Team 10</t>
  </si>
  <si>
    <t>Team 11</t>
  </si>
  <si>
    <t>Team 12</t>
  </si>
  <si>
    <t>Team 13</t>
  </si>
  <si>
    <t>Team 14</t>
  </si>
  <si>
    <t>Team 15</t>
  </si>
  <si>
    <t>Team 16</t>
  </si>
  <si>
    <t>Team 17</t>
  </si>
  <si>
    <t>Team 18</t>
  </si>
  <si>
    <t>Team 19</t>
  </si>
  <si>
    <t>Team 20</t>
  </si>
  <si>
    <t xml:space="preserve">  • Questions are sorted by Round Number then Question Number automatically.</t>
  </si>
  <si>
    <t xml:space="preserve">  • Leave Image URL blank if a question has no image.</t>
  </si>
  <si>
    <t xml:space="preserve">  • Column names are matched case-insensitively — minor spelling variations are fine.</t>
  </si>
  <si>
    <t xml:space="preserve">  • Row 2 (the grey hint row) in the Quiz Questions sheet can be deleted before uploading.</t>
  </si>
  <si>
    <t xml:space="preserve">  • You can have as many rounds and questions per round as you like.</t>
  </si>
  <si>
    <t>TIPS</t>
  </si>
  <si>
    <t xml:space="preserve">  → A web URL to an image that will be embedded on the question slide.</t>
  </si>
  <si>
    <t>Image URL</t>
  </si>
  <si>
    <t xml:space="preserve">  → Set to TRUE (or YES or 1) for picture round questions.</t>
  </si>
  <si>
    <t xml:space="preserve">  → Point value for the question. Defaults to 1 if left blank.</t>
  </si>
  <si>
    <t xml:space="preserve">  → A sub-topic label shown on the slide (e.g. 'History', 'Pop Music')</t>
  </si>
  <si>
    <t>OPTIONAL COLUMNS</t>
  </si>
  <si>
    <t xml:space="preserve">  → The full answer text</t>
  </si>
  <si>
    <t xml:space="preserve">  → The full question text</t>
  </si>
  <si>
    <t xml:space="preserve">  → The question's position within its round (1, 2, 3…)</t>
  </si>
  <si>
    <t xml:space="preserve">  → The display name of the round, e.g. 'General Knowledge', 'Music', 'Sport &amp; Leisure'</t>
  </si>
  <si>
    <t xml:space="preserve">  → A number identifying the round (1, 2, 3…). All rows for the same round must share the same number.</t>
  </si>
  <si>
    <t>REQUIRED COLUMNS</t>
  </si>
  <si>
    <t>QUIZ NIGHT PPT GENERATOR — TEMPLATE GUIDE</t>
  </si>
  <si>
    <t>In England, what year is known as ‘The Year of Three Kings’?</t>
  </si>
  <si>
    <t>Which office complex in Washington DC took its name from a channel leading to the Potomac River?</t>
  </si>
  <si>
    <t>Who said of his only heterosexual experience, "My heart was never in it, but my loins were grateful for the outing and the exercise"?</t>
  </si>
  <si>
    <t>What mountain range forms the heart of Romania?</t>
  </si>
  <si>
    <t>Who was known as the Old Pretender?</t>
  </si>
  <si>
    <t>Two Fat Ladies</t>
  </si>
  <si>
    <t>The Watergate Complex</t>
  </si>
  <si>
    <t>Stephen Fry</t>
  </si>
  <si>
    <t>Maximilien Robespierre</t>
  </si>
  <si>
    <t>The Carpathian Mountains</t>
  </si>
  <si>
    <t>Bram Stoker's Dracula</t>
  </si>
  <si>
    <t>James Francis Edward Stuart (also known as James III and VIII to Jacobites)</t>
  </si>
  <si>
    <t>The Two Fat Ladies (Clarissa Dickson Wright &amp; Jennifer Paterson) rode a Triumph Thunderbird with a sidecar.</t>
  </si>
  <si>
    <t>George V — died in January 1936, Edward VIII — became king, then abdicated in December 1936, George VI — succeeded his brother immediately after the abdication.</t>
  </si>
  <si>
    <t>The Watergate Complex scandal, which brought down President Nixon in 1974, takes its name from this hotel and office complex.</t>
  </si>
  <si>
    <t>Stephen Fry came out publicly as gay in 1994 and has written candidly about his sexuality and bipolar disorder in his autobiography.</t>
  </si>
  <si>
    <t>Robespierre was himself arrested and guillotined in 1794 — the Reign of Terror ended almost as abruptly as it began.</t>
  </si>
  <si>
    <t>The Carpathians span over 1,500 km across Central and Eastern Europe and shelter the largest brown bear population on the continent.</t>
  </si>
  <si>
    <t>Francis Ford Coppola's Bram Stoker's Dracula (1992) was praised for its lavish Gothic visuals but polarised critics with its acting.</t>
  </si>
  <si>
    <t>The term 'Jacobite' derives from 'Jacobus', the Latin form of James, honouring supporters of the exiled Stuart royal line.</t>
  </si>
  <si>
    <t>Russell</t>
  </si>
  <si>
    <t>Which TV series featured a motorcycle sidecar combo with the registration number N88 TFL?</t>
  </si>
  <si>
    <t>Which leading figure of the French Revolution was arrested and guillotined in 1794 after the Reign of Terror?</t>
  </si>
  <si>
    <t>Which Wiltshire prehistoric monument, part of a vast Neolithic ceremonial landscape of standing stones, contains the largest stone circle in Europe?</t>
  </si>
  <si>
    <t>Avebury</t>
  </si>
  <si>
    <t>Stonehenge may be the iconic site, but Avebury’s stone circle is over three times the diameter, making it the largest in Europe. Both monuments sit in Wiltshire, and Avebury lies only about 20 miles north of Stonehenge.</t>
  </si>
  <si>
    <t>Which Gary Oldman and Winona Ryder movie used the tagline 'Love never dies'?</t>
  </si>
  <si>
    <t>For AI</t>
  </si>
  <si>
    <t>Question Audio</t>
  </si>
  <si>
    <t>Answer Audio</t>
  </si>
  <si>
    <t>Sound 01.mp3</t>
  </si>
  <si>
    <t>Sound 03.mp3</t>
  </si>
  <si>
    <t>Sound 05.mp3</t>
  </si>
  <si>
    <t>Sound 41.mp3</t>
  </si>
  <si>
    <t>Sound 43.mp3</t>
  </si>
  <si>
    <t>Sound 45.mp3</t>
  </si>
  <si>
    <t>Sound 81.mp3</t>
  </si>
  <si>
    <t>Sound 83.mp3</t>
  </si>
  <si>
    <t>Sound 85.mp3</t>
  </si>
  <si>
    <t>Answer-01.mp3</t>
  </si>
  <si>
    <t>Answer-02.mp3</t>
  </si>
  <si>
    <t>Answer-03.mp3</t>
  </si>
  <si>
    <t>Answer-21.mp3</t>
  </si>
  <si>
    <t>Answer-22.mp3</t>
  </si>
  <si>
    <t>Answer-23.mp3</t>
  </si>
  <si>
    <t>Answer-41.mp3</t>
  </si>
  <si>
    <t>Answer-42.mp3</t>
  </si>
  <si>
    <t>Answer-43.mp3</t>
  </si>
  <si>
    <t>Audio Mode</t>
  </si>
  <si>
    <r>
      <t>ValueQuestion slideAnswer slide</t>
    </r>
    <r>
      <rPr>
        <i/>
        <sz val="11"/>
        <color theme="1"/>
        <rFont val="Calibri"/>
        <family val="2"/>
        <scheme val="minor"/>
      </rPr>
      <t>(blank)</t>
    </r>
    <r>
      <rPr>
        <sz val="11"/>
        <color theme="1"/>
        <rFont val="Calibri"/>
        <family val="2"/>
        <scheme val="minor"/>
      </rPr>
      <t xml:space="preserve"> / </t>
    </r>
    <r>
      <rPr>
        <sz val="10"/>
        <color theme="1"/>
        <rFont val="Arial Unicode MS"/>
      </rPr>
      <t>Both</t>
    </r>
    <r>
      <rPr>
        <sz val="11"/>
        <color theme="1"/>
        <rFont val="Calibri"/>
        <family val="2"/>
        <scheme val="minor"/>
      </rPr>
      <t>QQ + A</t>
    </r>
    <r>
      <rPr>
        <sz val="10"/>
        <color theme="1"/>
        <rFont val="Arial Unicode MS"/>
      </rPr>
      <t>Question</t>
    </r>
    <r>
      <rPr>
        <sz val="11"/>
        <color theme="1"/>
        <rFont val="Calibri"/>
        <family val="2"/>
        <scheme val="minor"/>
      </rPr>
      <t>QQ only (no A)</t>
    </r>
    <r>
      <rPr>
        <sz val="10"/>
        <color theme="1"/>
        <rFont val="Arial Unicode MS"/>
      </rPr>
      <t>Answer</t>
    </r>
    <r>
      <rPr>
        <i/>
        <sz val="11"/>
        <color theme="1"/>
        <rFont val="Calibri"/>
        <family val="2"/>
        <scheme val="minor"/>
      </rPr>
      <t>(nothing)</t>
    </r>
    <r>
      <rPr>
        <sz val="11"/>
        <color theme="1"/>
        <rFont val="Calibri"/>
        <family val="2"/>
        <scheme val="minor"/>
      </rPr>
      <t>A only</t>
    </r>
    <r>
      <rPr>
        <sz val="10"/>
        <color theme="1"/>
        <rFont val="Arial Unicode MS"/>
      </rPr>
      <t>Question Audio for the Question Slide with Just the Answer Audio for the Answer Slide</t>
    </r>
    <r>
      <rPr>
        <sz val="11"/>
        <color theme="1"/>
        <rFont val="Calibri"/>
        <family val="2"/>
        <scheme val="minor"/>
      </rPr>
      <t>QA only</t>
    </r>
    <r>
      <rPr>
        <sz val="10"/>
        <color theme="1"/>
        <rFont val="Arial Unicode MS"/>
      </rPr>
      <t>Question Audio for the Question Slide with Both Audio for the Answer Slide</t>
    </r>
    <r>
      <rPr>
        <sz val="11"/>
        <color theme="1"/>
        <rFont val="Calibri"/>
        <family val="2"/>
        <scheme val="minor"/>
      </rPr>
      <t>QQ + A</t>
    </r>
  </si>
  <si>
    <t>Question Audio for the Question Slide with Just the Answer Audio for the Answer</t>
  </si>
  <si>
    <t>QType</t>
  </si>
  <si>
    <t>Timer</t>
  </si>
  <si>
    <t>QAnswer</t>
  </si>
  <si>
    <t>QMulti</t>
  </si>
  <si>
    <t>QPoints</t>
  </si>
  <si>
    <t>1st</t>
  </si>
  <si>
    <t>2nd</t>
  </si>
  <si>
    <t>3rd</t>
  </si>
  <si>
    <t>Letter</t>
  </si>
  <si>
    <t>Number</t>
  </si>
  <si>
    <t>a</t>
  </si>
  <si>
    <t>b</t>
  </si>
  <si>
    <t>c</t>
  </si>
  <si>
    <t>d</t>
  </si>
  <si>
    <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</si>
</sst>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Calibri"/>
      <family val="2"/>
      <scheme val="minor"/>
    </font>
    <font>
      <b/>
      <sz val="16"/>
      <color rgb="FFE8C547"/>
      <name val="Arial"/>
      <family val="2"/>
    </font>
    <font>
      <b/>
      <sz val="11"/>
      <color rgb="FF2EC4B6"/>
      <name val="Arial"/>
      <family val="2"/>
    </font>
    <font>
      <sz val="10"/>
      <color rgb="FFA7A9BE"/>
      <name val="Arial"/>
      <family val="2"/>
    </font>
    <font>
      <sz val="10"/>
      <color rgb="FF1A1A2E"/>
      <name val="Arial"/>
      <family val="2"/>
    </font>
    <font>
      <b/>
      <sz val="10"/>
      <color rgb="FFFFFCF2"/>
      <name val="Arial"/>
      <family val="2"/>
    </font>
    <font>
      <sz val="9"/>
      <color rgb="FF1A1A2E"/>
      <name val="Arial"/>
      <family val="2"/>
    </font>
    <font>
      <sz val="11"/>
      <color theme="1"/>
      <name val="Calibri"/>
      <family val="2"/>
      <scheme val="minor"/>
    </font>
    <font>
      <sz val="8"/>
      <color theme="0"/>
      <name val="Calibri"/>
      <family val="2"/>
      <scheme val="minor"/>
    </font>
    <font>
      <sz val="8"/>
      <name val="Calibri"/>
      <family val="2"/>
      <scheme val="minor"/>
    </font>
    <font>
      <sz val="8"/>
      <color theme="1"/>
      <name val="Calibri"/>
      <family val="2"/>
      <scheme val="minor"/>
    </font>
    <font>
      <sz val="10"/>
      <color rgb="FF333333"/>
      <name val="Arial"/>
      <family val="2"/>
    </font>
    <font>
      <b/>
      <sz val="11"/>
      <color rgb="FFFFFFFF"/>
      <name val="Arial"/>
      <family val="2"/>
    </font>
    <font>
      <b/>
      <sz val="11"/>
      <color rgb="FF1E2761"/>
      <name val="Arial"/>
      <family val="2"/>
    </font>
    <font>
      <b/>
      <sz val="14"/>
      <color rgb="FFFFFFFF"/>
      <name val="Arial"/>
      <family val="2"/>
    </font>
    <font>
      <b/>
      <sz val="8"/>
      <color theme="0"/>
      <name val="Calibri"/>
      <family val="2"/>
      <scheme val="minor"/>
    </font>
    <font>
      <b/>
      <sz val="8"/>
      <name val="Calibri"/>
      <family val="2"/>
      <scheme val="minor"/>
    </font>
    <font>
      <i/>
      <sz val="11"/>
      <color theme="1"/>
      <name val="Calibri"/>
      <family val="2"/>
      <scheme val="minor"/>
    </font>
    <font>
      <sz val="10"/>
      <color theme="1"/>
      <name val="Arial Unicode MS"/>
    </font>
    <font>
      <sz val="11"/>
      <color theme="0"/>
      <name val="Calibri"/>
      <family val="2"/>
      <scheme val="minor"/>
    </font>
  </fonts>
  <fills count="16">
    <fill>
      <patternFill patternType="none"/>
    </fill>
    <fill>
      <patternFill patternType="gray125"/>
    </fill>
    <fill>
      <patternFill patternType="solid">
        <fgColor rgb="FF1A1A2E"/>
      </patternFill>
    </fill>
    <fill>
      <patternFill patternType="solid">
        <fgColor rgb="FFFFF8DC"/>
      </patternFill>
    </fill>
    <fill>
      <patternFill patternType="solid">
        <fgColor rgb="FF2A2A4E"/>
      </patternFill>
    </fill>
    <fill>
      <patternFill patternType="solid">
        <fgColor rgb="FFF0EEE4"/>
      </patternFill>
    </fill>
    <fill>
      <patternFill patternType="solid">
        <fgColor rgb="FFF8F6EE"/>
      </patternFill>
    </fill>
    <fill>
      <patternFill patternType="solid">
        <fgColor theme="7"/>
        <bgColor indexed="64"/>
      </patternFill>
    </fill>
    <fill>
      <patternFill patternType="solid">
        <fgColor theme="0"/>
        <bgColor indexed="64"/>
      </patternFill>
    </fill>
    <fill>
      <patternFill patternType="solid">
        <fgColor theme="7" tint="0.79995117038483843"/>
        <bgColor indexed="64"/>
      </patternFill>
    </fill>
    <fill>
      <patternFill patternType="solid">
        <fgColor rgb="FFE84545"/>
      </patternFill>
    </fill>
    <fill>
      <patternFill patternType="solid">
        <fgColor rgb="FF2EC4B6"/>
      </patternFill>
    </fill>
    <fill>
      <patternFill patternType="solid">
        <fgColor rgb="FFE8C547"/>
      </patternFill>
    </fill>
    <fill>
      <patternFill patternType="solid">
        <fgColor rgb="FF1E2761"/>
      </patternFill>
    </fill>
    <fill>
      <patternFill patternType="solid">
        <fgColor theme="5"/>
        <bgColor indexed="64"/>
      </patternFill>
    </fill>
    <fill>
      <patternFill patternType="solid">
        <fgColor theme="3" tint="0.39997558519241921"/>
        <bgColor indexed="64"/>
      </patternFill>
    </fill>
  </fills>
  <borders count="3">
    <border>
      <left/>
      <right/>
      <top/>
      <bottom/>
      <diagonal/>
    </border>
    <border>
      <left style="thin">
        <color rgb="FFCCCCCC"/>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7" fillId="0" borderId="0"/>
    <xf numFmtId="0" fontId="7" fillId="0" borderId="0"/>
    <xf numFmtId="0" fontId="7" fillId="0" borderId="0"/>
  </cellStyleXfs>
  <cellXfs count="33">
    <xf numFmtId="0" fontId="0" fillId="0" borderId="0" xfId="0"/>
    <xf numFmtId="0" fontId="2" fillId="2" borderId="1" xfId="0" applyFont="1" applyFill="1" applyBorder="1" applyAlignment="1">
      <alignment horizontal="center" vertical="center"/>
    </xf>
    <xf numFmtId="0" fontId="4" fillId="3" borderId="1" xfId="0" applyFont="1" applyFill="1" applyBorder="1" applyAlignment="1">
      <alignment horizontal="left" vertical="center"/>
    </xf>
    <xf numFmtId="0" fontId="5" fillId="4" borderId="1" xfId="0" applyFont="1" applyFill="1" applyBorder="1" applyAlignment="1">
      <alignment horizontal="center" vertical="center"/>
    </xf>
    <xf numFmtId="0" fontId="0" fillId="2" borderId="0" xfId="0" applyFill="1"/>
    <xf numFmtId="0" fontId="4" fillId="5" borderId="1" xfId="0" applyFont="1" applyFill="1" applyBorder="1" applyAlignment="1">
      <alignment horizontal="center" vertical="center"/>
    </xf>
    <xf numFmtId="0" fontId="0" fillId="6" borderId="0" xfId="0" applyFill="1"/>
    <xf numFmtId="0" fontId="4" fillId="5" borderId="1" xfId="0" applyFont="1" applyFill="1" applyBorder="1" applyAlignment="1">
      <alignment horizontal="left" vertical="center"/>
    </xf>
    <xf numFmtId="0" fontId="6" fillId="3" borderId="1" xfId="0" applyFont="1" applyFill="1" applyBorder="1" applyAlignment="1">
      <alignment horizontal="left" vertical="center" wrapText="1"/>
    </xf>
    <xf numFmtId="0" fontId="11" fillId="0" borderId="0" xfId="0" applyFont="1" applyAlignment="1">
      <alignment vertical="center" wrapText="1"/>
    </xf>
    <xf numFmtId="0" fontId="12" fillId="10" borderId="0" xfId="0" applyFont="1" applyFill="1" applyAlignment="1">
      <alignment vertical="center" wrapText="1"/>
    </xf>
    <xf numFmtId="0" fontId="12" fillId="11" borderId="0" xfId="0" applyFont="1" applyFill="1" applyAlignment="1">
      <alignment vertical="center" wrapText="1"/>
    </xf>
    <xf numFmtId="0" fontId="13" fillId="12" borderId="0" xfId="0" applyFont="1" applyFill="1" applyAlignment="1">
      <alignment vertical="center" wrapText="1"/>
    </xf>
    <xf numFmtId="0" fontId="14" fillId="13" borderId="0" xfId="0" applyFont="1" applyFill="1" applyAlignment="1">
      <alignment vertical="center" wrapText="1"/>
    </xf>
    <xf numFmtId="0" fontId="10" fillId="0" borderId="0" xfId="0" applyFont="1" applyAlignment="1">
      <alignment horizontal="left"/>
    </xf>
    <xf numFmtId="0" fontId="8" fillId="7" borderId="2" xfId="0" applyFont="1" applyFill="1" applyBorder="1" applyAlignment="1">
      <alignment horizontal="left"/>
    </xf>
    <xf numFmtId="0" fontId="15" fillId="7" borderId="2" xfId="0" applyFont="1" applyFill="1" applyBorder="1" applyAlignment="1">
      <alignment horizontal="left"/>
    </xf>
    <xf numFmtId="0" fontId="9" fillId="8" borderId="2" xfId="0" applyFont="1" applyFill="1" applyBorder="1" applyAlignment="1">
      <alignment horizontal="left" wrapText="1"/>
    </xf>
    <xf numFmtId="0" fontId="9" fillId="8" borderId="2" xfId="0" applyFont="1" applyFill="1" applyBorder="1" applyAlignment="1">
      <alignment horizontal="left"/>
    </xf>
    <xf numFmtId="0" fontId="16" fillId="8" borderId="2" xfId="0" applyFont="1" applyFill="1" applyBorder="1" applyAlignment="1">
      <alignment horizontal="left" wrapText="1"/>
    </xf>
    <xf numFmtId="0" fontId="9" fillId="8" borderId="2" xfId="2" applyFont="1" applyFill="1" applyBorder="1" applyAlignment="1">
      <alignment horizontal="left" wrapText="1"/>
    </xf>
    <xf numFmtId="0" fontId="9" fillId="9" borderId="2" xfId="0" applyFont="1" applyFill="1" applyBorder="1" applyAlignment="1">
      <alignment horizontal="left" wrapText="1"/>
    </xf>
    <xf numFmtId="0" fontId="9" fillId="9" borderId="2" xfId="0" applyFont="1" applyFill="1" applyBorder="1" applyAlignment="1">
      <alignment horizontal="left"/>
    </xf>
    <xf numFmtId="0" fontId="16" fillId="9" borderId="2" xfId="0" applyFont="1" applyFill="1" applyBorder="1" applyAlignment="1">
      <alignment horizontal="left" wrapText="1"/>
    </xf>
    <xf numFmtId="0" fontId="9" fillId="9" borderId="2" xfId="2" applyFont="1" applyFill="1" applyBorder="1" applyAlignment="1">
      <alignment horizontal="left" wrapText="1"/>
    </xf>
    <xf numFmtId="0" fontId="8" fillId="14" borderId="2" xfId="0" applyFont="1" applyFill="1" applyBorder="1" applyAlignment="1">
      <alignment horizontal="left"/>
    </xf>
    <xf numFmtId="0" fontId="9" fillId="8" borderId="2" xfId="0" applyFont="1" applyFill="1" applyBorder="1" applyAlignment="1">
      <alignment wrapText="1"/>
    </xf>
    <xf numFmtId="0" fontId="9" fillId="9" borderId="2" xfId="0" applyFont="1" applyFill="1" applyBorder="1" applyAlignment="1">
      <alignment wrapText="1"/>
    </xf>
    <xf numFmtId="0" fontId="1" fillId="2" borderId="1" xfId="0" applyFont="1" applyFill="1" applyBorder="1" applyAlignment="1">
      <alignment horizontal="center" vertical="center"/>
    </xf>
    <xf numFmtId="0" fontId="0" fillId="0" borderId="0" xfId="0"/>
    <xf numFmtId="0" fontId="3" fillId="2" borderId="1" xfId="0" applyFont="1" applyFill="1" applyBorder="1" applyAlignment="1">
      <alignment horizontal="center" vertical="center"/>
    </xf>
    <xf numFmtId="0" fontId="10" fillId="0" borderId="2" xfId="0" applyFont="1" applyBorder="1" applyAlignment="1">
      <alignment horizontal="left"/>
    </xf>
    <xf numFmtId="0" fontId="19" fillId="15" borderId="2" xfId="0" applyFont="1" applyFill="1" applyBorder="1"/>
  </cellXfs>
  <cellStyles count="4">
    <cellStyle name="Normal" xfId="0" builtinId="0"/>
    <cellStyle name="Normal 4" xfId="2" xr:uid="{47299AF4-F0B2-470C-9563-1E7507A3E3A4}"/>
    <cellStyle name="Normal 7" xfId="3" xr:uid="{51EE1D49-AF2C-44E2-A5A7-1AC7CBFB9412}"/>
    <cellStyle name="Normal 8" xfId="1" xr:uid="{4EADBAE9-4478-488F-A914-BF935B6A0FC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xdr:col>
      <xdr:colOff>1200150</xdr:colOff>
      <xdr:row>14</xdr:row>
      <xdr:rowOff>123825</xdr:rowOff>
    </xdr:from>
    <xdr:to>
      <xdr:col>4</xdr:col>
      <xdr:colOff>2114550</xdr:colOff>
      <xdr:row>19</xdr:row>
      <xdr:rowOff>85725</xdr:rowOff>
    </xdr:to>
    <xdr:sp macro="[0]!AssignJokers" textlink="">
      <xdr:nvSpPr>
        <xdr:cNvPr id="2" name="Oval 1">
          <a:extLst>
            <a:ext uri="{FF2B5EF4-FFF2-40B4-BE49-F238E27FC236}">
              <a16:creationId xmlns:a16="http://schemas.microsoft.com/office/drawing/2014/main" id="{05953752-372E-363E-39A5-B502B1ED77A9}"/>
            </a:ext>
          </a:extLst>
        </xdr:cNvPr>
        <xdr:cNvSpPr/>
      </xdr:nvSpPr>
      <xdr:spPr>
        <a:xfrm>
          <a:off x="3800475" y="3200400"/>
          <a:ext cx="914400" cy="9144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10"/>
  <sheetViews>
    <sheetView tabSelected="1" topLeftCell="O1" workbookViewId="0">
      <pane ySplit="1" topLeftCell="A2" activePane="bottomLeft" state="frozen"/>
      <selection pane="bottomLeft" activeCell="Y13" sqref="Y13"/>
    </sheetView>
  </sheetViews>
  <sheetFormatPr defaultRowHeight="13.5" customHeight="1"/>
  <cols>
    <col min="1" max="1" width="13.28515625" style="14" bestFit="1" customWidth="1"/>
    <col min="2" max="2" width="10.85546875" style="14" bestFit="1" customWidth="1"/>
    <col min="3" max="3" width="15.140625" style="14" bestFit="1" customWidth="1"/>
    <col min="4" max="4" width="20" style="14" customWidth="1"/>
    <col min="5" max="5" width="42" style="14" customWidth="1"/>
    <col min="6" max="6" width="28" style="14" customWidth="1"/>
    <col min="7" max="7" width="8" style="14" customWidth="1"/>
    <col min="8" max="8" width="15" style="14" customWidth="1"/>
    <col min="9" max="9" width="16" style="14" customWidth="1"/>
    <col min="10" max="10" width="20" style="14" customWidth="1"/>
    <col min="11" max="11" width="14" style="14" customWidth="1"/>
    <col min="12" max="12" width="24" style="14" customWidth="1"/>
    <col min="13" max="15" width="14" style="14" customWidth="1"/>
    <col min="17" max="17" width="14.5703125" style="14" customWidth="1"/>
    <col min="18" max="16384" width="9.140625" style="14"/>
  </cols>
  <sheetData>
    <row r="1" spans="1:26" ht="13.5" customHeight="1">
      <c r="A1" s="15" t="s">
        <v>22</v>
      </c>
      <c r="B1" s="15" t="s">
        <v>23</v>
      </c>
      <c r="C1" s="15" t="s">
        <v>24</v>
      </c>
      <c r="D1" s="15" t="s">
        <v>25</v>
      </c>
      <c r="E1" s="15" t="s">
        <v>26</v>
      </c>
      <c r="F1" s="15" t="s">
        <v>27</v>
      </c>
      <c r="G1" s="15" t="s">
        <v>28</v>
      </c>
      <c r="H1" s="15" t="s">
        <v>29</v>
      </c>
      <c r="I1" s="15" t="s">
        <v>30</v>
      </c>
      <c r="J1" s="15" t="s">
        <v>31</v>
      </c>
      <c r="K1" s="15" t="s">
        <v>32</v>
      </c>
      <c r="L1" s="16" t="s">
        <v>33</v>
      </c>
      <c r="M1" s="15" t="s">
        <v>97</v>
      </c>
      <c r="N1" s="15" t="s">
        <v>98</v>
      </c>
      <c r="O1" s="15" t="s">
        <v>117</v>
      </c>
      <c r="Q1" s="25" t="s">
        <v>96</v>
      </c>
      <c r="S1" s="32" t="s">
        <v>120</v>
      </c>
      <c r="T1" s="32" t="s">
        <v>122</v>
      </c>
      <c r="U1" s="32" t="s">
        <v>123</v>
      </c>
      <c r="V1" s="32" t="s">
        <v>121</v>
      </c>
      <c r="W1" s="32" t="s">
        <v>124</v>
      </c>
      <c r="X1" s="32" t="s">
        <v>125</v>
      </c>
      <c r="Y1" s="32" t="s">
        <v>126</v>
      </c>
      <c r="Z1" s="32" t="s">
        <v>127</v>
      </c>
    </row>
    <row r="2" spans="1:26" ht="13.5" customHeight="1">
      <c r="A2" s="17">
        <v>1</v>
      </c>
      <c r="B2" s="18" t="str">
        <f t="shared" ref="B2:B10" si="0">"Round "&amp;TEXT(A2,"00")</f>
        <v>Round 01</v>
      </c>
      <c r="C2" s="17">
        <v>1</v>
      </c>
      <c r="D2" s="19" t="s">
        <v>35</v>
      </c>
      <c r="E2" s="17" t="s">
        <v>92</v>
      </c>
      <c r="F2" s="17" t="s">
        <v>93</v>
      </c>
      <c r="G2" s="17">
        <v>1</v>
      </c>
      <c r="H2" s="18" t="b">
        <v>0</v>
      </c>
      <c r="I2" s="18"/>
      <c r="J2" s="17" t="s">
        <v>94</v>
      </c>
      <c r="K2" s="17" t="s">
        <v>36</v>
      </c>
      <c r="L2" s="18"/>
      <c r="M2" s="17" t="s">
        <v>99</v>
      </c>
      <c r="N2" s="17" t="s">
        <v>108</v>
      </c>
      <c r="O2" s="26" t="s">
        <v>119</v>
      </c>
      <c r="Q2" s="17" t="str">
        <f t="shared" ref="Q2:Q7" si="1">D2&amp;" Question"&amp;" [sPause sec=1 ePause] "&amp;E2&amp;" [sPause sec=4 ePause] "&amp;F2&amp;" [sPause sec=4 ePause] "</f>
        <v xml:space="preserve">Geography Question [sPause sec=1 ePause] Which Wiltshire prehistoric monument, part of a vast Neolithic ceremonial landscape of standing stones, contains the largest stone circle in Europe? [sPause sec=4 ePause] Avebury [sPause sec=4 ePause] </v>
      </c>
      <c r="R2" s="14" t="str">
        <f>E2&amp;" [sPause sec=2 ePause] "&amp;F2&amp;" [sPause sec=4 ePause] "</f>
        <v xml:space="preserve">Which Wiltshire prehistoric monument, part of a vast Neolithic ceremonial landscape of standing stones, contains the largest stone circle in Europe? [sPause sec=2 ePause] Avebury [sPause sec=4 ePause] </v>
      </c>
      <c r="S2" s="31" t="s">
        <v>128</v>
      </c>
      <c r="T2" s="31" t="s">
        <v>130</v>
      </c>
      <c r="U2" s="31"/>
      <c r="V2" s="31">
        <v>10</v>
      </c>
      <c r="W2" s="31">
        <v>1</v>
      </c>
      <c r="X2" s="31">
        <v>1</v>
      </c>
      <c r="Y2" s="31">
        <f>X2+1</f>
        <v>2</v>
      </c>
      <c r="Z2" s="31">
        <f>Y2+1</f>
        <v>3</v>
      </c>
    </row>
    <row r="3" spans="1:26" ht="13.5" customHeight="1">
      <c r="A3" s="17">
        <v>1</v>
      </c>
      <c r="B3" s="18" t="str">
        <f t="shared" si="0"/>
        <v>Round 01</v>
      </c>
      <c r="C3" s="17">
        <v>2</v>
      </c>
      <c r="D3" s="19" t="s">
        <v>37</v>
      </c>
      <c r="E3" s="17" t="s">
        <v>90</v>
      </c>
      <c r="F3" s="17" t="s">
        <v>74</v>
      </c>
      <c r="G3" s="17">
        <v>1</v>
      </c>
      <c r="H3" s="18" t="b">
        <v>0</v>
      </c>
      <c r="I3" s="18"/>
      <c r="J3" s="17" t="s">
        <v>81</v>
      </c>
      <c r="K3" s="17" t="s">
        <v>89</v>
      </c>
      <c r="L3" s="18"/>
      <c r="M3" s="17" t="s">
        <v>100</v>
      </c>
      <c r="N3" s="17" t="s">
        <v>109</v>
      </c>
      <c r="O3" s="26" t="s">
        <v>119</v>
      </c>
      <c r="Q3" s="17" t="str">
        <f t="shared" si="1"/>
        <v xml:space="preserve">Entertainment Question [sPause sec=1 ePause] Which TV series featured a motorcycle sidecar combo with the registration number N88 TFL? [sPause sec=4 ePause] Two Fat Ladies [sPause sec=4 ePause] </v>
      </c>
      <c r="R3" s="14" t="str">
        <f t="shared" ref="R3:R10" si="2">E3&amp;" [sPause sec=2 ePause] "&amp;F3&amp;" [sPause sec=4 ePause] "</f>
        <v xml:space="preserve">Which TV series featured a motorcycle sidecar combo with the registration number N88 TFL? [sPause sec=2 ePause] Two Fat Ladies [sPause sec=4 ePause] </v>
      </c>
      <c r="S3" s="31" t="s">
        <v>129</v>
      </c>
      <c r="T3" s="31">
        <v>1</v>
      </c>
      <c r="U3" s="31"/>
      <c r="V3" s="31">
        <v>20</v>
      </c>
      <c r="W3" s="31">
        <v>2</v>
      </c>
      <c r="X3" s="31">
        <v>2</v>
      </c>
      <c r="Y3" s="31">
        <f t="shared" ref="Y3:Z3" si="3">X3+1</f>
        <v>3</v>
      </c>
      <c r="Z3" s="31">
        <f t="shared" si="3"/>
        <v>4</v>
      </c>
    </row>
    <row r="4" spans="1:26" ht="13.5" customHeight="1">
      <c r="A4" s="17">
        <v>1</v>
      </c>
      <c r="B4" s="18" t="str">
        <f t="shared" si="0"/>
        <v>Round 01</v>
      </c>
      <c r="C4" s="17">
        <v>3</v>
      </c>
      <c r="D4" s="19" t="s">
        <v>34</v>
      </c>
      <c r="E4" s="17" t="s">
        <v>69</v>
      </c>
      <c r="F4" s="17">
        <v>1936</v>
      </c>
      <c r="G4" s="17">
        <v>1</v>
      </c>
      <c r="H4" s="18" t="b">
        <v>0</v>
      </c>
      <c r="I4" s="18"/>
      <c r="J4" s="17" t="s">
        <v>82</v>
      </c>
      <c r="K4" s="17" t="s">
        <v>36</v>
      </c>
      <c r="L4" s="18"/>
      <c r="M4" s="17" t="s">
        <v>101</v>
      </c>
      <c r="N4" s="17" t="s">
        <v>110</v>
      </c>
      <c r="O4" s="26" t="s">
        <v>119</v>
      </c>
      <c r="Q4" s="17" t="str">
        <f t="shared" si="1"/>
        <v xml:space="preserve">History Question [sPause sec=1 ePause] In England, what year is known as ‘The Year of Three Kings’? [sPause sec=4 ePause] 1936 [sPause sec=4 ePause] </v>
      </c>
      <c r="R4" s="14" t="str">
        <f t="shared" si="2"/>
        <v xml:space="preserve">In England, what year is known as ‘The Year of Three Kings’? [sPause sec=2 ePause] 1936 [sPause sec=4 ePause] </v>
      </c>
      <c r="S4" s="31" t="s">
        <v>128</v>
      </c>
      <c r="T4" s="31" t="s">
        <v>131</v>
      </c>
      <c r="U4" s="31"/>
      <c r="V4" s="31">
        <v>30</v>
      </c>
      <c r="W4" s="31">
        <v>3</v>
      </c>
      <c r="X4" s="31">
        <v>3</v>
      </c>
      <c r="Y4" s="31">
        <f t="shared" ref="Y4:Z4" si="4">X4+1</f>
        <v>4</v>
      </c>
      <c r="Z4" s="31">
        <f t="shared" si="4"/>
        <v>5</v>
      </c>
    </row>
    <row r="5" spans="1:26" ht="13.5" customHeight="1">
      <c r="A5" s="21">
        <v>2</v>
      </c>
      <c r="B5" s="22" t="str">
        <f t="shared" si="0"/>
        <v>Round 02</v>
      </c>
      <c r="C5" s="21">
        <v>1</v>
      </c>
      <c r="D5" s="23" t="s">
        <v>35</v>
      </c>
      <c r="E5" s="21" t="s">
        <v>72</v>
      </c>
      <c r="F5" s="21" t="s">
        <v>78</v>
      </c>
      <c r="G5" s="24">
        <v>1</v>
      </c>
      <c r="H5" s="22" t="b">
        <v>0</v>
      </c>
      <c r="I5" s="22"/>
      <c r="J5" s="21" t="s">
        <v>86</v>
      </c>
      <c r="K5" s="24" t="s">
        <v>89</v>
      </c>
      <c r="L5" s="22"/>
      <c r="M5" s="21" t="s">
        <v>102</v>
      </c>
      <c r="N5" s="21" t="s">
        <v>111</v>
      </c>
      <c r="O5" s="27" t="s">
        <v>119</v>
      </c>
      <c r="Q5" s="21" t="str">
        <f t="shared" si="1"/>
        <v xml:space="preserve">Geography Question [sPause sec=1 ePause] What mountain range forms the heart of Romania? [sPause sec=4 ePause] The Carpathian Mountains [sPause sec=4 ePause] </v>
      </c>
      <c r="R5" s="14" t="str">
        <f t="shared" si="2"/>
        <v xml:space="preserve">What mountain range forms the heart of Romania? [sPause sec=2 ePause] The Carpathian Mountains [sPause sec=4 ePause] </v>
      </c>
      <c r="S5" s="31" t="s">
        <v>129</v>
      </c>
      <c r="T5" s="31">
        <v>2</v>
      </c>
      <c r="U5" s="31"/>
      <c r="V5" s="31">
        <v>40</v>
      </c>
      <c r="W5" s="31">
        <v>4</v>
      </c>
      <c r="X5" s="31">
        <v>4</v>
      </c>
      <c r="Y5" s="31">
        <f t="shared" ref="Y5:Z5" si="5">X5+1</f>
        <v>5</v>
      </c>
      <c r="Z5" s="31">
        <f t="shared" si="5"/>
        <v>6</v>
      </c>
    </row>
    <row r="6" spans="1:26" ht="13.5" customHeight="1">
      <c r="A6" s="21">
        <v>2</v>
      </c>
      <c r="B6" s="22" t="str">
        <f t="shared" si="0"/>
        <v>Round 02</v>
      </c>
      <c r="C6" s="21">
        <v>2</v>
      </c>
      <c r="D6" s="23" t="s">
        <v>37</v>
      </c>
      <c r="E6" s="21" t="s">
        <v>71</v>
      </c>
      <c r="F6" s="21" t="s">
        <v>76</v>
      </c>
      <c r="G6" s="21">
        <v>1</v>
      </c>
      <c r="H6" s="22" t="b">
        <v>0</v>
      </c>
      <c r="I6" s="22"/>
      <c r="J6" s="21" t="s">
        <v>84</v>
      </c>
      <c r="K6" s="21" t="s">
        <v>89</v>
      </c>
      <c r="L6" s="22"/>
      <c r="M6" s="21" t="s">
        <v>103</v>
      </c>
      <c r="N6" s="21" t="s">
        <v>112</v>
      </c>
      <c r="O6" s="27" t="s">
        <v>119</v>
      </c>
      <c r="Q6" s="21" t="str">
        <f t="shared" si="1"/>
        <v xml:space="preserve">Entertainment Question [sPause sec=1 ePause] Who said of his only heterosexual experience, "My heart was never in it, but my loins were grateful for the outing and the exercise"? [sPause sec=4 ePause] Stephen Fry [sPause sec=4 ePause] </v>
      </c>
      <c r="R6" s="14" t="str">
        <f t="shared" si="2"/>
        <v xml:space="preserve">Who said of his only heterosexual experience, "My heart was never in it, but my loins were grateful for the outing and the exercise"? [sPause sec=2 ePause] Stephen Fry [sPause sec=4 ePause] </v>
      </c>
      <c r="S6" s="31" t="s">
        <v>128</v>
      </c>
      <c r="T6" s="31" t="s">
        <v>132</v>
      </c>
      <c r="U6" s="31"/>
      <c r="V6" s="31">
        <v>50</v>
      </c>
      <c r="W6" s="31">
        <v>5</v>
      </c>
      <c r="X6" s="31">
        <v>5</v>
      </c>
      <c r="Y6" s="31">
        <f t="shared" ref="Y6:Z6" si="6">X6+1</f>
        <v>6</v>
      </c>
      <c r="Z6" s="31">
        <f t="shared" si="6"/>
        <v>7</v>
      </c>
    </row>
    <row r="7" spans="1:26" ht="13.5" customHeight="1">
      <c r="A7" s="21">
        <v>2</v>
      </c>
      <c r="B7" s="22" t="str">
        <f t="shared" si="0"/>
        <v>Round 02</v>
      </c>
      <c r="C7" s="21">
        <v>3</v>
      </c>
      <c r="D7" s="23" t="s">
        <v>34</v>
      </c>
      <c r="E7" s="21" t="s">
        <v>91</v>
      </c>
      <c r="F7" s="21" t="s">
        <v>77</v>
      </c>
      <c r="G7" s="21">
        <v>1</v>
      </c>
      <c r="H7" s="22" t="b">
        <v>0</v>
      </c>
      <c r="I7" s="22"/>
      <c r="J7" s="21" t="s">
        <v>85</v>
      </c>
      <c r="K7" s="21" t="s">
        <v>89</v>
      </c>
      <c r="L7" s="22"/>
      <c r="M7" s="21" t="s">
        <v>104</v>
      </c>
      <c r="N7" s="21" t="s">
        <v>113</v>
      </c>
      <c r="O7" s="27" t="s">
        <v>119</v>
      </c>
      <c r="Q7" s="21" t="str">
        <f t="shared" si="1"/>
        <v xml:space="preserve">History Question [sPause sec=1 ePause] Which leading figure of the French Revolution was arrested and guillotined in 1794 after the Reign of Terror? [sPause sec=4 ePause] Maximilien Robespierre [sPause sec=4 ePause] </v>
      </c>
      <c r="R7" s="14" t="str">
        <f t="shared" si="2"/>
        <v xml:space="preserve">Which leading figure of the French Revolution was arrested and guillotined in 1794 after the Reign of Terror? [sPause sec=2 ePause] Maximilien Robespierre [sPause sec=4 ePause] </v>
      </c>
      <c r="S7" s="31" t="s">
        <v>129</v>
      </c>
      <c r="T7" s="31">
        <v>3</v>
      </c>
      <c r="U7" s="31"/>
      <c r="V7" s="31">
        <v>60</v>
      </c>
      <c r="W7" s="31">
        <v>6</v>
      </c>
      <c r="X7" s="31">
        <v>6</v>
      </c>
      <c r="Y7" s="31">
        <f t="shared" ref="Y7:Z7" si="7">X7+1</f>
        <v>7</v>
      </c>
      <c r="Z7" s="31">
        <f t="shared" si="7"/>
        <v>8</v>
      </c>
    </row>
    <row r="8" spans="1:26" ht="13.5" customHeight="1">
      <c r="A8" s="17">
        <v>3</v>
      </c>
      <c r="B8" s="18" t="str">
        <f t="shared" si="0"/>
        <v>Round 03</v>
      </c>
      <c r="C8" s="17">
        <v>1</v>
      </c>
      <c r="D8" s="19" t="s">
        <v>35</v>
      </c>
      <c r="E8" s="17" t="s">
        <v>70</v>
      </c>
      <c r="F8" s="17" t="s">
        <v>75</v>
      </c>
      <c r="G8" s="20">
        <v>1</v>
      </c>
      <c r="H8" s="18" t="b">
        <v>0</v>
      </c>
      <c r="I8" s="18"/>
      <c r="J8" s="17" t="s">
        <v>83</v>
      </c>
      <c r="K8" s="20" t="s">
        <v>89</v>
      </c>
      <c r="L8" s="18"/>
      <c r="M8" s="17" t="s">
        <v>105</v>
      </c>
      <c r="N8" s="17" t="s">
        <v>114</v>
      </c>
      <c r="O8" s="26" t="s">
        <v>119</v>
      </c>
      <c r="Q8" s="17" t="str">
        <f t="shared" ref="Q8:Q10" si="8">D8&amp;" Question"&amp;" [sPause sec=1 ePause] "&amp;E8&amp;" [sPause sec=4 ePause] "&amp;F8&amp;" [sPause sec=4 ePause] "</f>
        <v xml:space="preserve">Geography Question [sPause sec=1 ePause] Which office complex in Washington DC took its name from a channel leading to the Potomac River? [sPause sec=4 ePause] The Watergate Complex [sPause sec=4 ePause] </v>
      </c>
      <c r="R8" s="14" t="str">
        <f t="shared" si="2"/>
        <v xml:space="preserve">Which office complex in Washington DC took its name from a channel leading to the Potomac River? [sPause sec=2 ePause] The Watergate Complex [sPause sec=4 ePause] </v>
      </c>
      <c r="S8" s="31" t="s">
        <v>128</v>
      </c>
      <c r="T8" s="31" t="s">
        <v>133</v>
      </c>
      <c r="U8" s="31"/>
      <c r="V8" s="31">
        <v>70</v>
      </c>
      <c r="W8" s="31">
        <v>7</v>
      </c>
      <c r="X8" s="31">
        <v>7</v>
      </c>
      <c r="Y8" s="31">
        <f t="shared" ref="Y8:Z8" si="9">X8+1</f>
        <v>8</v>
      </c>
      <c r="Z8" s="31">
        <f t="shared" si="9"/>
        <v>9</v>
      </c>
    </row>
    <row r="9" spans="1:26" ht="13.5" customHeight="1">
      <c r="A9" s="17">
        <v>3</v>
      </c>
      <c r="B9" s="18" t="str">
        <f t="shared" si="0"/>
        <v>Round 03</v>
      </c>
      <c r="C9" s="17">
        <v>2</v>
      </c>
      <c r="D9" s="19" t="s">
        <v>37</v>
      </c>
      <c r="E9" s="17" t="s">
        <v>95</v>
      </c>
      <c r="F9" s="17" t="s">
        <v>79</v>
      </c>
      <c r="G9" s="20">
        <v>1</v>
      </c>
      <c r="H9" s="18" t="b">
        <v>0</v>
      </c>
      <c r="I9" s="18"/>
      <c r="J9" s="17" t="s">
        <v>87</v>
      </c>
      <c r="K9" s="20" t="s">
        <v>89</v>
      </c>
      <c r="L9" s="18"/>
      <c r="M9" s="17" t="s">
        <v>106</v>
      </c>
      <c r="N9" s="17" t="s">
        <v>115</v>
      </c>
      <c r="O9" s="26" t="s">
        <v>119</v>
      </c>
      <c r="Q9" s="17" t="str">
        <f t="shared" si="8"/>
        <v xml:space="preserve">Entertainment Question [sPause sec=1 ePause] Which Gary Oldman and Winona Ryder movie used the tagline 'Love never dies'? [sPause sec=4 ePause] Bram Stoker's Dracula [sPause sec=4 ePause] </v>
      </c>
      <c r="R9" s="14" t="str">
        <f t="shared" si="2"/>
        <v xml:space="preserve">Which Gary Oldman and Winona Ryder movie used the tagline 'Love never dies'? [sPause sec=2 ePause] Bram Stoker's Dracula [sPause sec=4 ePause] </v>
      </c>
      <c r="S9" s="31" t="s">
        <v>129</v>
      </c>
      <c r="T9" s="31">
        <v>4</v>
      </c>
      <c r="U9" s="31"/>
      <c r="V9" s="31">
        <v>80</v>
      </c>
      <c r="W9" s="31">
        <v>8</v>
      </c>
      <c r="X9" s="31">
        <v>8</v>
      </c>
      <c r="Y9" s="31">
        <f t="shared" ref="Y9:Z9" si="10">X9+1</f>
        <v>9</v>
      </c>
      <c r="Z9" s="31">
        <f t="shared" si="10"/>
        <v>10</v>
      </c>
    </row>
    <row r="10" spans="1:26" ht="13.5" customHeight="1">
      <c r="A10" s="17">
        <v>3</v>
      </c>
      <c r="B10" s="18" t="str">
        <f t="shared" si="0"/>
        <v>Round 03</v>
      </c>
      <c r="C10" s="17">
        <v>3</v>
      </c>
      <c r="D10" s="19" t="s">
        <v>34</v>
      </c>
      <c r="E10" s="17" t="s">
        <v>73</v>
      </c>
      <c r="F10" s="17" t="s">
        <v>80</v>
      </c>
      <c r="G10" s="20">
        <v>1</v>
      </c>
      <c r="H10" s="18" t="b">
        <v>0</v>
      </c>
      <c r="I10" s="18"/>
      <c r="J10" s="17" t="s">
        <v>88</v>
      </c>
      <c r="K10" s="20" t="s">
        <v>89</v>
      </c>
      <c r="L10" s="18"/>
      <c r="M10" s="17" t="s">
        <v>107</v>
      </c>
      <c r="N10" s="17" t="s">
        <v>116</v>
      </c>
      <c r="O10" s="26" t="s">
        <v>119</v>
      </c>
      <c r="Q10" s="17" t="str">
        <f t="shared" si="8"/>
        <v xml:space="preserve">History Question [sPause sec=1 ePause] Who was known as the Old Pretender? [sPause sec=4 ePause] James Francis Edward Stuart (also known as James III and VIII to Jacobites) [sPause sec=4 ePause] </v>
      </c>
      <c r="R10" s="14" t="str">
        <f t="shared" si="2"/>
        <v xml:space="preserve">Who was known as the Old Pretender? [sPause sec=2 ePause] James Francis Edward Stuart (also known as James III and VIII to Jacobites) [sPause sec=4 ePause] </v>
      </c>
      <c r="S10" s="31" t="s">
        <v>128</v>
      </c>
      <c r="T10" s="31" t="s">
        <v>134</v>
      </c>
      <c r="U10" s="31"/>
      <c r="V10" s="31">
        <v>90</v>
      </c>
      <c r="W10" s="31">
        <v>9</v>
      </c>
      <c r="X10" s="31">
        <v>9</v>
      </c>
      <c r="Y10" s="31">
        <f t="shared" ref="Y10:Z10" si="11">X10+1</f>
        <v>10</v>
      </c>
      <c r="Z10" s="31">
        <f t="shared" si="11"/>
        <v>11</v>
      </c>
    </row>
  </sheetData>
  <autoFilter ref="A1:L10" xr:uid="{00000000-0001-0000-0100-000000000000}"/>
  <phoneticPr fontId="9" type="noConversion"/>
  <pageMargins left="0.75" right="0.75" top="1" bottom="1" header="0.5" footer="0.5"/>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E23"/>
  <sheetViews>
    <sheetView workbookViewId="0">
      <selection activeCell="G14" sqref="G14"/>
    </sheetView>
  </sheetViews>
  <sheetFormatPr defaultRowHeight="15"/>
  <cols>
    <col min="1" max="1" width="13" customWidth="1"/>
    <col min="2" max="2" width="2" customWidth="1"/>
    <col min="3" max="3" width="22" customWidth="1"/>
    <col min="4" max="4" width="2" customWidth="1"/>
    <col min="5" max="5" width="52" customWidth="1"/>
  </cols>
  <sheetData>
    <row r="1" spans="1:5" ht="36" customHeight="1">
      <c r="A1" s="28" t="s">
        <v>0</v>
      </c>
      <c r="B1" s="29"/>
      <c r="C1" s="29"/>
      <c r="D1" s="29"/>
      <c r="E1" s="1" t="s">
        <v>1</v>
      </c>
    </row>
    <row r="2" spans="1:5" ht="20.100000000000001" customHeight="1">
      <c r="A2" s="30" t="s">
        <v>2</v>
      </c>
      <c r="B2" s="29"/>
      <c r="C2" s="29"/>
      <c r="D2" s="29"/>
      <c r="E2" s="2"/>
    </row>
    <row r="3" spans="1:5" ht="21.95" customHeight="1">
      <c r="A3" s="3" t="s">
        <v>3</v>
      </c>
      <c r="B3" s="4"/>
      <c r="C3" s="3" t="s">
        <v>4</v>
      </c>
      <c r="D3" s="4"/>
      <c r="E3" s="3" t="s">
        <v>5</v>
      </c>
    </row>
    <row r="4" spans="1:5">
      <c r="A4" s="5">
        <v>1</v>
      </c>
      <c r="B4" s="6"/>
      <c r="C4" s="7" t="s">
        <v>6</v>
      </c>
      <c r="D4" s="6"/>
      <c r="E4" s="8" t="s">
        <v>7</v>
      </c>
    </row>
    <row r="5" spans="1:5">
      <c r="A5" s="5">
        <v>2</v>
      </c>
      <c r="B5" s="6"/>
      <c r="C5" s="7" t="s">
        <v>8</v>
      </c>
      <c r="D5" s="6"/>
      <c r="E5" s="8" t="s">
        <v>9</v>
      </c>
    </row>
    <row r="6" spans="1:5">
      <c r="A6" s="5">
        <v>3</v>
      </c>
      <c r="B6" s="6"/>
      <c r="C6" s="7" t="s">
        <v>10</v>
      </c>
      <c r="D6" s="6"/>
      <c r="E6" s="8" t="s">
        <v>11</v>
      </c>
    </row>
    <row r="7" spans="1:5">
      <c r="A7" s="5"/>
      <c r="B7" s="6"/>
      <c r="C7" s="7" t="s">
        <v>12</v>
      </c>
      <c r="D7" s="6"/>
      <c r="E7" s="8" t="s">
        <v>13</v>
      </c>
    </row>
    <row r="8" spans="1:5">
      <c r="A8" s="5"/>
      <c r="B8" s="6"/>
      <c r="C8" s="7" t="s">
        <v>14</v>
      </c>
      <c r="D8" s="6"/>
      <c r="E8" s="8" t="s">
        <v>15</v>
      </c>
    </row>
    <row r="9" spans="1:5">
      <c r="A9" s="5"/>
      <c r="B9" s="6"/>
      <c r="C9" s="7" t="s">
        <v>16</v>
      </c>
      <c r="D9" s="6"/>
      <c r="E9" s="8" t="s">
        <v>17</v>
      </c>
    </row>
    <row r="10" spans="1:5">
      <c r="A10" s="5"/>
      <c r="B10" s="6"/>
      <c r="C10" s="7" t="s">
        <v>18</v>
      </c>
      <c r="D10" s="6"/>
      <c r="E10" s="8" t="s">
        <v>19</v>
      </c>
    </row>
    <row r="11" spans="1:5">
      <c r="A11" s="5"/>
      <c r="B11" s="6"/>
      <c r="C11" s="7" t="s">
        <v>20</v>
      </c>
      <c r="D11" s="6"/>
      <c r="E11" s="8" t="s">
        <v>21</v>
      </c>
    </row>
    <row r="12" spans="1:5">
      <c r="C12" s="7" t="s">
        <v>38</v>
      </c>
    </row>
    <row r="13" spans="1:5">
      <c r="C13" s="7" t="s">
        <v>39</v>
      </c>
    </row>
    <row r="14" spans="1:5">
      <c r="C14" s="7" t="s">
        <v>40</v>
      </c>
    </row>
    <row r="15" spans="1:5">
      <c r="C15" s="7" t="s">
        <v>41</v>
      </c>
    </row>
    <row r="16" spans="1:5">
      <c r="C16" s="7" t="s">
        <v>42</v>
      </c>
    </row>
    <row r="17" spans="3:3">
      <c r="C17" s="7" t="s">
        <v>43</v>
      </c>
    </row>
    <row r="18" spans="3:3">
      <c r="C18" s="7" t="s">
        <v>44</v>
      </c>
    </row>
    <row r="19" spans="3:3">
      <c r="C19" s="7" t="s">
        <v>45</v>
      </c>
    </row>
    <row r="20" spans="3:3">
      <c r="C20" s="7" t="s">
        <v>46</v>
      </c>
    </row>
    <row r="21" spans="3:3">
      <c r="C21" s="7" t="s">
        <v>47</v>
      </c>
    </row>
    <row r="22" spans="3:3">
      <c r="C22" s="7" t="s">
        <v>48</v>
      </c>
    </row>
    <row r="23" spans="3:3">
      <c r="C23" s="7" t="s">
        <v>49</v>
      </c>
    </row>
  </sheetData>
  <mergeCells count="2">
    <mergeCell ref="A1:D1"/>
    <mergeCell ref="A2:D2"/>
  </mergeCells>
  <phoneticPr fontId="9" type="noConversion"/>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BBF49-D916-4AA8-B557-0868DF366E07}">
  <sheetPr codeName="Sheet3"/>
  <dimension ref="A1:A36"/>
  <sheetViews>
    <sheetView topLeftCell="A19" workbookViewId="0">
      <selection activeCell="A40" sqref="A40"/>
    </sheetView>
  </sheetViews>
  <sheetFormatPr defaultRowHeight="15"/>
  <cols>
    <col min="1" max="1" width="90" customWidth="1"/>
  </cols>
  <sheetData>
    <row r="1" spans="1:1" ht="18" customHeight="1">
      <c r="A1" s="13" t="s">
        <v>68</v>
      </c>
    </row>
    <row r="2" spans="1:1" ht="18" customHeight="1">
      <c r="A2" s="9"/>
    </row>
    <row r="3" spans="1:1" ht="18" customHeight="1">
      <c r="A3" s="12" t="s">
        <v>67</v>
      </c>
    </row>
    <row r="4" spans="1:1" ht="18" customHeight="1">
      <c r="A4" s="9" t="s">
        <v>22</v>
      </c>
    </row>
    <row r="5" spans="1:1" ht="18" customHeight="1">
      <c r="A5" s="9" t="s">
        <v>66</v>
      </c>
    </row>
    <row r="6" spans="1:1" ht="18" customHeight="1">
      <c r="A6" s="9" t="s">
        <v>23</v>
      </c>
    </row>
    <row r="7" spans="1:1" ht="18" customHeight="1">
      <c r="A7" s="9" t="s">
        <v>65</v>
      </c>
    </row>
    <row r="8" spans="1:1" ht="18" customHeight="1">
      <c r="A8" s="9" t="s">
        <v>24</v>
      </c>
    </row>
    <row r="9" spans="1:1" ht="18" customHeight="1">
      <c r="A9" s="9" t="s">
        <v>64</v>
      </c>
    </row>
    <row r="10" spans="1:1" ht="18" customHeight="1">
      <c r="A10" s="9" t="s">
        <v>26</v>
      </c>
    </row>
    <row r="11" spans="1:1" ht="18" customHeight="1">
      <c r="A11" s="9" t="s">
        <v>63</v>
      </c>
    </row>
    <row r="12" spans="1:1" ht="18" customHeight="1">
      <c r="A12" s="9" t="s">
        <v>27</v>
      </c>
    </row>
    <row r="13" spans="1:1" ht="18" customHeight="1">
      <c r="A13" s="9" t="s">
        <v>62</v>
      </c>
    </row>
    <row r="14" spans="1:1" ht="18" customHeight="1">
      <c r="A14" s="9"/>
    </row>
    <row r="15" spans="1:1" ht="18" customHeight="1">
      <c r="A15" s="11" t="s">
        <v>61</v>
      </c>
    </row>
    <row r="16" spans="1:1" ht="18" customHeight="1">
      <c r="A16" s="9" t="s">
        <v>25</v>
      </c>
    </row>
    <row r="17" spans="1:1" ht="18" customHeight="1">
      <c r="A17" s="9" t="s">
        <v>60</v>
      </c>
    </row>
    <row r="18" spans="1:1" ht="18" customHeight="1">
      <c r="A18" s="9" t="s">
        <v>28</v>
      </c>
    </row>
    <row r="19" spans="1:1" ht="18" customHeight="1">
      <c r="A19" s="9" t="s">
        <v>59</v>
      </c>
    </row>
    <row r="20" spans="1:1" ht="18" customHeight="1">
      <c r="A20" s="9" t="s">
        <v>29</v>
      </c>
    </row>
    <row r="21" spans="1:1" ht="18" customHeight="1">
      <c r="A21" s="9" t="s">
        <v>58</v>
      </c>
    </row>
    <row r="22" spans="1:1" ht="18" customHeight="1">
      <c r="A22" s="9" t="s">
        <v>57</v>
      </c>
    </row>
    <row r="23" spans="1:1" ht="18" customHeight="1">
      <c r="A23" s="9" t="s">
        <v>56</v>
      </c>
    </row>
    <row r="24" spans="1:1" ht="18" customHeight="1">
      <c r="A24" s="9"/>
    </row>
    <row r="25" spans="1:1" ht="18" customHeight="1">
      <c r="A25" s="10" t="s">
        <v>55</v>
      </c>
    </row>
    <row r="26" spans="1:1" ht="18" customHeight="1">
      <c r="A26" s="9" t="s">
        <v>54</v>
      </c>
    </row>
    <row r="27" spans="1:1" ht="18" customHeight="1">
      <c r="A27" s="9" t="s">
        <v>53</v>
      </c>
    </row>
    <row r="28" spans="1:1" ht="18" customHeight="1">
      <c r="A28" s="9" t="s">
        <v>52</v>
      </c>
    </row>
    <row r="29" spans="1:1" ht="18" customHeight="1">
      <c r="A29" s="9" t="s">
        <v>51</v>
      </c>
    </row>
    <row r="30" spans="1:1" ht="18" customHeight="1">
      <c r="A30" s="9" t="s">
        <v>50</v>
      </c>
    </row>
    <row r="36" spans="1:1">
      <c r="A36" t="s">
        <v>118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Quiz Questions</vt:lpstr>
      <vt:lpstr>Joker Setup</vt:lpstr>
      <vt:lpstr>Instructions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Phil Stevenson</cp:lastModifiedBy>
  <dcterms:created xsi:type="dcterms:W3CDTF">2026-05-19T21:44:48Z</dcterms:created>
  <dcterms:modified xsi:type="dcterms:W3CDTF">2026-10-11T04:40:41Z</dcterms:modified>
</cp:coreProperties>
</file>